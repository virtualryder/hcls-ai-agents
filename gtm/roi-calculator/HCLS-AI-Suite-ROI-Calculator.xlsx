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01 Regulatory Writing" sheetId="4" state="visible" r:id="rId4"/>
    <sheet xmlns:r="http://schemas.openxmlformats.org/officeDocument/2006/relationships" name="02 Pharmacovigilance" sheetId="5" state="visible" r:id="rId5"/>
    <sheet xmlns:r="http://schemas.openxmlformats.org/officeDocument/2006/relationships" name="03 Clinical Trial Ops &amp; TMF" sheetId="6" state="visible" r:id="rId6"/>
    <sheet xmlns:r="http://schemas.openxmlformats.org/officeDocument/2006/relationships" name="04 Site &amp; Patient Matching" sheetId="7" state="visible" r:id="rId7"/>
    <sheet xmlns:r="http://schemas.openxmlformats.org/officeDocument/2006/relationships" name="05 Quality - CAPA" sheetId="8" state="visible" r:id="rId8"/>
    <sheet xmlns:r="http://schemas.openxmlformats.org/officeDocument/2006/relationships" name="06 Protocol Design" sheetId="9" state="visible" r:id="rId9"/>
    <sheet xmlns:r="http://schemas.openxmlformats.org/officeDocument/2006/relationships" name="07 RWE - HEOR" sheetId="10" state="visible" r:id="rId10"/>
    <sheet xmlns:r="http://schemas.openxmlformats.org/officeDocument/2006/relationships" name="08 Medical Affairs - MS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0.0"/>
  </numFmts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color rgb="00232F3E"/>
      <sz val="10"/>
    </font>
    <font>
      <b val="1"/>
      <color rgb="00232F3E"/>
      <sz val="12"/>
    </font>
    <font>
      <b val="1"/>
      <color rgb="00232F3E"/>
      <sz val="10"/>
    </font>
    <font>
      <b val="1"/>
      <color rgb="001F4E79"/>
    </font>
    <font>
      <i val="1"/>
      <color rgb="00232F3E"/>
      <sz val="9"/>
    </font>
    <font>
      <b val="1"/>
      <color rgb="00232F3E"/>
      <sz val="11"/>
    </font>
    <font>
      <color rgb="00232F3E"/>
    </font>
    <font>
      <b val="1"/>
      <color rgb="0016A085"/>
    </font>
    <font>
      <i val="1"/>
      <color rgb="006B7785"/>
      <sz val="9"/>
    </font>
  </fonts>
  <fills count="6">
    <fill>
      <patternFill/>
    </fill>
    <fill>
      <patternFill patternType="gray125"/>
    </fill>
    <fill>
      <patternFill patternType="solid">
        <fgColor rgb="00232F3E"/>
      </patternFill>
    </fill>
    <fill>
      <patternFill patternType="solid">
        <fgColor rgb="00DCE9F7"/>
      </patternFill>
    </fill>
    <fill>
      <patternFill patternType="solid">
        <fgColor rgb="00F2F3F4"/>
      </patternFill>
    </fill>
    <fill>
      <patternFill patternType="solid">
        <fgColor rgb="00E8F6F1"/>
      </patternFill>
    </fill>
  </fills>
  <borders count="2">
    <border>
      <left/>
      <right/>
      <top/>
      <bottom/>
      <diagonal/>
    </border>
    <border>
      <left style="thin">
        <color rgb="00D5DBE1"/>
      </left>
      <right style="thin">
        <color rgb="00D5DBE1"/>
      </right>
      <top style="thin">
        <color rgb="00D5DBE1"/>
      </top>
      <bottom style="thin">
        <color rgb="00D5DB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64" fontId="5" fillId="3" borderId="1" applyAlignment="1" pivotButton="0" quotePrefix="0" xfId="0">
      <alignment horizontal="right"/>
    </xf>
    <xf numFmtId="0" fontId="6" fillId="0" borderId="0" applyAlignment="1" pivotButton="0" quotePrefix="0" xfId="0">
      <alignment vertical="center" wrapText="1"/>
    </xf>
    <xf numFmtId="164" fontId="8" fillId="0" borderId="1" applyAlignment="1" pivotButton="0" quotePrefix="0" xfId="0">
      <alignment horizontal="right"/>
    </xf>
    <xf numFmtId="164" fontId="9" fillId="0" borderId="1" applyAlignment="1" pivotButton="0" quotePrefix="0" xfId="0">
      <alignment horizontal="right"/>
    </xf>
    <xf numFmtId="0" fontId="10" fillId="0" borderId="0" pivotButton="0" quotePrefix="0" xfId="0"/>
    <xf numFmtId="0" fontId="7" fillId="4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vertical="center" wrapText="1"/>
    </xf>
    <xf numFmtId="3" fontId="5" fillId="3" borderId="1" applyAlignment="1" pivotButton="0" quotePrefix="0" xfId="0">
      <alignment horizontal="right"/>
    </xf>
    <xf numFmtId="9" fontId="5" fillId="3" borderId="1" applyAlignment="1" pivotButton="0" quotePrefix="0" xfId="0">
      <alignment horizontal="right"/>
    </xf>
    <xf numFmtId="164" fontId="9" fillId="5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 ht="30" customHeight="1">
      <c r="A1" s="1" t="inlineStr">
        <is>
          <t>HCLS AI Agent Suite — ROI Calculator</t>
        </is>
      </c>
    </row>
    <row r="2">
      <c r="A2" s="2" t="inlineStr"/>
    </row>
    <row r="3">
      <c r="A3" s="3" t="inlineStr">
        <is>
          <t>HOW TO USE</t>
        </is>
      </c>
    </row>
    <row r="4">
      <c r="A4" s="2" t="inlineStr">
        <is>
          <t>1. Open the 'Assumptions' tab and set the blue input cells to your organization's baseline.</t>
        </is>
      </c>
    </row>
    <row r="5">
      <c r="A5" s="2" t="inlineStr">
        <is>
          <t>2. Open each agent tab; set the blue per-agent input cells (volumes, rates, expected reduction).</t>
        </is>
      </c>
    </row>
    <row r="6">
      <c r="A6" s="2" t="inlineStr">
        <is>
          <t>3. Read the green 'Modeled annual value' and the 'Summary' tab. Edit only blue cells.</t>
        </is>
      </c>
    </row>
    <row r="7">
      <c r="A7" s="2" t="inlineStr"/>
    </row>
    <row r="8">
      <c r="A8" s="3" t="inlineStr">
        <is>
          <t>DISCIPLINE (so the model stays board-defensible)</t>
        </is>
      </c>
    </row>
    <row r="9">
      <c r="A9" s="2" t="inlineStr">
        <is>
          <t>• Every anchor figure traces to ../HCLS-DECK-SOURCES.md with a source-class tag.</t>
        </is>
      </c>
    </row>
    <row r="10">
      <c r="A10" s="2" t="inlineStr">
        <is>
          <t>• Outcomes are modeled at YOUR baseline — they are not guaranteed and depend on data quality,</t>
        </is>
      </c>
    </row>
    <row r="11">
      <c r="A11" s="2" t="inlineStr">
        <is>
          <t xml:space="preserve">  process design, and adoption.</t>
        </is>
      </c>
    </row>
    <row r="12">
      <c r="A12" s="2" t="inlineStr">
        <is>
          <t>• 'Expected reduction %' is a planning assumption the SA sets WITH the customer, not a vendor promise.</t>
        </is>
      </c>
    </row>
    <row r="13">
      <c r="A13" s="2" t="inlineStr">
        <is>
          <t>• Bedrock inference + infrastructure + SI delivery cost must be modeled separately (see Assumptions).</t>
        </is>
      </c>
    </row>
    <row r="14">
      <c r="A14" s="2" t="inlineStr"/>
    </row>
    <row r="15">
      <c r="A15" s="3" t="inlineStr">
        <is>
          <t>SOURCE ANCHORS USED</t>
        </is>
      </c>
    </row>
    <row r="16">
      <c r="A16" s="2" t="inlineStr">
        <is>
          <t>• Clinical-trial delay: ~$800K/day lost sales + Phase III $55,716/day direct — Tufts CSDD 2024.</t>
        </is>
      </c>
    </row>
    <row r="17">
      <c r="A17" s="2" t="inlineStr">
        <is>
          <t>• Drug development cost: $2.6B per approved drug — DiMasi/Tufts 2016.</t>
        </is>
      </c>
    </row>
    <row r="18">
      <c r="A18" s="2" t="inlineStr">
        <is>
          <t>• Submission delay: ~$60M NPV/month for a $1B-peak asset — McKinsey 2025.</t>
        </is>
      </c>
    </row>
    <row r="19">
      <c r="A19" s="2" t="inlineStr">
        <is>
          <t>• Protocol amendment: ~$535K direct (Phase III), ~45% avoidable — Tufts CSDD 2016.</t>
        </is>
      </c>
    </row>
    <row r="20">
      <c r="A20" s="2" t="inlineStr">
        <is>
          <t>• PV intake: 40–85% of PV budget; ICSR entry time cut 40–70% — Schmider 2019.</t>
        </is>
      </c>
    </row>
    <row r="21">
      <c r="A21" s="2" t="inlineStr">
        <is>
          <t>• RWE: ~45% of analyst time on data prep — Anaconda.</t>
        </is>
      </c>
    </row>
    <row r="22">
      <c r="A22" s="2" t="inlineStr">
        <is>
          <t>• MLR: 50–70% time-to-deliver reduction potential — McKinsey.</t>
        </is>
      </c>
    </row>
  </sheetData>
  <mergeCells count="1">
    <mergeCell ref="A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8" customWidth="1" min="1" max="1"/>
    <col width="16" customWidth="1" min="2" max="2"/>
    <col width="60" customWidth="1" min="3" max="3"/>
  </cols>
  <sheetData>
    <row r="1" ht="30" customHeight="1">
      <c r="A1" s="1" t="inlineStr">
        <is>
          <t>Global Assumptions  (edit blue cells)</t>
        </is>
      </c>
    </row>
    <row r="2">
      <c r="A2" s="4" t="inlineStr">
        <is>
          <t>Parameter</t>
        </is>
      </c>
      <c r="B2" s="4" t="inlineStr">
        <is>
          <t>Value</t>
        </is>
      </c>
      <c r="C2" s="4" t="inlineStr">
        <is>
          <t>Note</t>
        </is>
      </c>
    </row>
    <row r="3">
      <c r="A3" s="5" t="inlineStr">
        <is>
          <t>Fully-loaded labor cost / FTE / yr</t>
        </is>
      </c>
      <c r="B3" s="6" t="n">
        <v>175000</v>
      </c>
      <c r="C3" s="7" t="inlineStr">
        <is>
          <t>Blended loaded rate; adjust per geography/role.</t>
        </is>
      </c>
    </row>
    <row r="4">
      <c r="A4" s="5" t="inlineStr">
        <is>
          <t>Fully-loaded labor cost / hour</t>
        </is>
      </c>
      <c r="B4" s="6" t="n">
        <v>95</v>
      </c>
      <c r="C4" s="7" t="inlineStr">
        <is>
          <t>Used for hours-saved conversions.</t>
        </is>
      </c>
    </row>
    <row r="5">
      <c r="A5" s="5" t="inlineStr">
        <is>
          <t>Lost/delayed peak sales per day of delay</t>
        </is>
      </c>
      <c r="B5" s="6" t="n">
        <v>800000</v>
      </c>
      <c r="C5" s="7" t="inlineStr">
        <is>
          <t>Tufts CSDD 2024 (asset-dependent).</t>
        </is>
      </c>
    </row>
    <row r="6">
      <c r="A6" s="5" t="inlineStr">
        <is>
          <t>Phase III direct trial cost per day</t>
        </is>
      </c>
      <c r="B6" s="6" t="n">
        <v>55716</v>
      </c>
      <c r="C6" s="7" t="inlineStr">
        <is>
          <t>Tufts CSDD 2024.</t>
        </is>
      </c>
    </row>
    <row r="7">
      <c r="A7" s="5" t="inlineStr">
        <is>
          <t>Direct cost of a substantial Phase III amendment</t>
        </is>
      </c>
      <c r="B7" s="6" t="n">
        <v>535000</v>
      </c>
      <c r="C7" s="7" t="inlineStr">
        <is>
          <t>Tufts CSDD 2016.</t>
        </is>
      </c>
    </row>
    <row r="8">
      <c r="A8" s="5" t="inlineStr">
        <is>
          <t>Estimated Bedrock inference + infra / yr (per agent)</t>
        </is>
      </c>
      <c r="B8" s="6" t="n">
        <v>120000</v>
      </c>
      <c r="C8" s="7" t="inlineStr">
        <is>
          <t>Replace with your TCO-model figure.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24" customWidth="1" min="4" max="4"/>
  </cols>
  <sheetData>
    <row r="1" ht="30" customHeight="1">
      <c r="A1" s="1" t="inlineStr">
        <is>
          <t>Suite ROI Summary  (modeled at your baseline)</t>
        </is>
      </c>
    </row>
    <row r="2">
      <c r="A2" s="4" t="inlineStr">
        <is>
          <t>#</t>
        </is>
      </c>
      <c r="B2" s="4" t="inlineStr">
        <is>
          <t>Agent</t>
        </is>
      </c>
      <c r="C2" s="4" t="inlineStr">
        <is>
          <t>Modeled annual value</t>
        </is>
      </c>
      <c r="D2" s="4" t="inlineStr">
        <is>
          <t>Net of platform cost</t>
        </is>
      </c>
    </row>
    <row r="3">
      <c r="A3" s="5" t="inlineStr">
        <is>
          <t>01</t>
        </is>
      </c>
      <c r="B3" s="5" t="inlineStr">
        <is>
          <t>Regulatory Writing</t>
        </is>
      </c>
      <c r="C3" s="8">
        <f>'01 Regulatory Writing'!B9</f>
        <v/>
      </c>
      <c r="D3" s="8">
        <f>'01 Regulatory Writing'!B11</f>
        <v/>
      </c>
    </row>
    <row r="4">
      <c r="A4" s="5" t="inlineStr">
        <is>
          <t>02</t>
        </is>
      </c>
      <c r="B4" s="5" t="inlineStr">
        <is>
          <t>Pharmacovigilance</t>
        </is>
      </c>
      <c r="C4" s="8">
        <f>'02 Pharmacovigilance'!B9</f>
        <v/>
      </c>
      <c r="D4" s="8">
        <f>'02 Pharmacovigilance'!B11</f>
        <v/>
      </c>
    </row>
    <row r="5">
      <c r="A5" s="5" t="inlineStr">
        <is>
          <t>03</t>
        </is>
      </c>
      <c r="B5" s="5" t="inlineStr">
        <is>
          <t>Clinical Trial Ops &amp; TMF</t>
        </is>
      </c>
      <c r="C5" s="8">
        <f>'03 Clinical Trial Ops &amp; TMF'!B9</f>
        <v/>
      </c>
      <c r="D5" s="8">
        <f>'03 Clinical Trial Ops &amp; TMF'!B11</f>
        <v/>
      </c>
    </row>
    <row r="6">
      <c r="A6" s="5" t="inlineStr">
        <is>
          <t>04</t>
        </is>
      </c>
      <c r="B6" s="5" t="inlineStr">
        <is>
          <t>Site &amp; Patient Matching</t>
        </is>
      </c>
      <c r="C6" s="8">
        <f>'04 Site &amp; Patient Matching'!B10</f>
        <v/>
      </c>
      <c r="D6" s="8">
        <f>'04 Site &amp; Patient Matching'!B12</f>
        <v/>
      </c>
    </row>
    <row r="7">
      <c r="A7" s="5" t="inlineStr">
        <is>
          <t>05</t>
        </is>
      </c>
      <c r="B7" s="5" t="inlineStr">
        <is>
          <t>Quality / CAPA</t>
        </is>
      </c>
      <c r="C7" s="8">
        <f>'05 Quality - CAPA'!B10</f>
        <v/>
      </c>
      <c r="D7" s="8">
        <f>'05 Quality - CAPA'!B12</f>
        <v/>
      </c>
    </row>
    <row r="8">
      <c r="A8" s="5" t="inlineStr">
        <is>
          <t>06</t>
        </is>
      </c>
      <c r="B8" s="5" t="inlineStr">
        <is>
          <t>Protocol Design</t>
        </is>
      </c>
      <c r="C8" s="8">
        <f>'06 Protocol Design'!B10</f>
        <v/>
      </c>
      <c r="D8" s="8">
        <f>'06 Protocol Design'!B12</f>
        <v/>
      </c>
    </row>
    <row r="9">
      <c r="A9" s="5" t="inlineStr">
        <is>
          <t>07</t>
        </is>
      </c>
      <c r="B9" s="5" t="inlineStr">
        <is>
          <t>RWE / HEOR</t>
        </is>
      </c>
      <c r="C9" s="8">
        <f>'07 RWE - HEOR'!B9</f>
        <v/>
      </c>
      <c r="D9" s="8">
        <f>'07 RWE - HEOR'!B11</f>
        <v/>
      </c>
    </row>
    <row r="10">
      <c r="A10" s="5" t="inlineStr">
        <is>
          <t>08</t>
        </is>
      </c>
      <c r="B10" s="5" t="inlineStr">
        <is>
          <t>Medical Affairs / MSL</t>
        </is>
      </c>
      <c r="C10" s="8">
        <f>'08 Medical Affairs - MSL'!B9</f>
        <v/>
      </c>
      <c r="D10" s="8">
        <f>'08 Medical Affairs - MSL'!B11</f>
        <v/>
      </c>
    </row>
    <row r="11">
      <c r="B11" s="4" t="inlineStr">
        <is>
          <t>SUITE TOTAL</t>
        </is>
      </c>
      <c r="C11" s="9">
        <f>SUM(C3:C10)</f>
        <v/>
      </c>
      <c r="D11" s="9">
        <f>SUM(D3:D10)</f>
        <v/>
      </c>
    </row>
    <row r="13">
      <c r="A13" s="10" t="inlineStr">
        <is>
          <t>All figures modeled from the cited anchors in HCLS-DECK-SOURCES.md, applied to your inputs. Not a guarantee. Land-first agents 01/02/03/08 typically anchor the Phase-1 business case.</t>
        </is>
      </c>
    </row>
  </sheetData>
  <mergeCells count="2">
    <mergeCell ref="A1:D1"/>
    <mergeCell ref="A13:D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</cols>
  <sheetData>
    <row r="1" ht="30" customHeight="1">
      <c r="A1" s="1" t="inlineStr">
        <is>
          <t>Agent 01 — Regulatory Writing  (edit blue cells)</t>
        </is>
      </c>
    </row>
    <row r="2">
      <c r="A2" s="11" t="inlineStr">
        <is>
          <t>Inputs (your baseline)</t>
        </is>
      </c>
    </row>
    <row r="3">
      <c r="A3" s="12" t="inlineStr">
        <is>
          <t>Submissions / major filings per year</t>
        </is>
      </c>
      <c r="B3" s="13" t="n">
        <v>6</v>
      </c>
    </row>
    <row r="4">
      <c r="A4" s="12" t="inlineStr">
        <is>
          <t>Avg. writer hours per submission (drafting+assembly)</t>
        </is>
      </c>
      <c r="B4" s="13" t="n">
        <v>1200</v>
      </c>
    </row>
    <row r="5">
      <c r="A5" s="12" t="inlineStr">
        <is>
          <t>Expected hours reduction % (Merck-class pilots ~40-55%)</t>
        </is>
      </c>
      <c r="B5" s="14" t="n">
        <v>0.4</v>
      </c>
    </row>
    <row r="6">
      <c r="A6" s="12" t="inlineStr">
        <is>
          <t>Avg. submission delay avoided (days/filing)</t>
        </is>
      </c>
      <c r="B6" s="13" t="n">
        <v>10</v>
      </c>
    </row>
    <row r="7">
      <c r="A7" s="11" t="inlineStr">
        <is>
          <t>Results (modeled)</t>
        </is>
      </c>
    </row>
    <row r="8">
      <c r="A8" s="4" t="inlineStr">
        <is>
          <t>Cost of doing nothing (delay NPV exposure, modeled)</t>
        </is>
      </c>
      <c r="B8" s="8">
        <f>B3*B6*Assumptions!$B$5</f>
        <v/>
      </c>
    </row>
    <row r="9">
      <c r="A9" s="4" t="inlineStr">
        <is>
          <t>Modeled annual value of the agent</t>
        </is>
      </c>
      <c r="B9" s="9">
        <f>(B3*B4*B5*Assumptions!$B$4) + (B3*B6*Assumptions!$B$5)</f>
        <v/>
      </c>
    </row>
    <row r="10">
      <c r="A10" s="5" t="inlineStr">
        <is>
          <t>Less: est. Bedrock inference + infra / yr</t>
        </is>
      </c>
      <c r="B10" s="8">
        <f>-Assumptions!$B$8</f>
        <v/>
      </c>
    </row>
    <row r="11">
      <c r="A11" s="4" t="inlineStr">
        <is>
          <t>Net modeled annual value</t>
        </is>
      </c>
      <c r="B11" s="15">
        <f>B9+B10</f>
        <v/>
      </c>
    </row>
    <row r="13">
      <c r="A13" s="10" t="inlineStr">
        <is>
          <t>Modeled at your baseline; not guaranteed. SI delivery cost is separate (see TCO model).</t>
        </is>
      </c>
    </row>
  </sheetData>
  <mergeCells count="3">
    <mergeCell ref="A2:B2"/>
    <mergeCell ref="A1:B1"/>
    <mergeCell ref="A7:B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</cols>
  <sheetData>
    <row r="1" ht="30" customHeight="1">
      <c r="A1" s="1" t="inlineStr">
        <is>
          <t>Agent 02 — Pharmacovigilance  (edit blue cells)</t>
        </is>
      </c>
    </row>
    <row r="2">
      <c r="A2" s="11" t="inlineStr">
        <is>
          <t>Inputs (your baseline)</t>
        </is>
      </c>
    </row>
    <row r="3">
      <c r="A3" s="12" t="inlineStr">
        <is>
          <t>ICSR cases processed per year</t>
        </is>
      </c>
      <c r="B3" s="13" t="n">
        <v>100000</v>
      </c>
    </row>
    <row r="4">
      <c r="A4" s="12" t="inlineStr">
        <is>
          <t>Avg. processing minutes per case today</t>
        </is>
      </c>
      <c r="B4" s="13" t="n">
        <v>69</v>
      </c>
    </row>
    <row r="5">
      <c r="A5" s="12" t="inlineStr">
        <is>
          <t>Expected processing-time reduction % (Schmider 40-70%)</t>
        </is>
      </c>
      <c r="B5" s="14" t="n">
        <v>0.4</v>
      </c>
    </row>
    <row r="6">
      <c r="A6" s="12" t="inlineStr">
        <is>
          <t>Blended cost per processing hour</t>
        </is>
      </c>
      <c r="B6" s="6" t="n">
        <v>95</v>
      </c>
    </row>
    <row r="7">
      <c r="A7" s="11" t="inlineStr">
        <is>
          <t>Results (modeled)</t>
        </is>
      </c>
    </row>
    <row r="8">
      <c r="A8" s="4" t="inlineStr">
        <is>
          <t>Annual case-processing labor today (modeled)</t>
        </is>
      </c>
      <c r="B8" s="8">
        <f>(B3*B4/60)*B6</f>
        <v/>
      </c>
    </row>
    <row r="9">
      <c r="A9" s="4" t="inlineStr">
        <is>
          <t>Modeled annual value of the agent</t>
        </is>
      </c>
      <c r="B9" s="9">
        <f>(B3*B4/60)*B5*B6</f>
        <v/>
      </c>
    </row>
    <row r="10">
      <c r="A10" s="5" t="inlineStr">
        <is>
          <t>Less: est. Bedrock inference + infra / yr</t>
        </is>
      </c>
      <c r="B10" s="8">
        <f>-Assumptions!$B$8</f>
        <v/>
      </c>
    </row>
    <row r="11">
      <c r="A11" s="4" t="inlineStr">
        <is>
          <t>Net modeled annual value</t>
        </is>
      </c>
      <c r="B11" s="15">
        <f>B9+B10</f>
        <v/>
      </c>
    </row>
    <row r="13">
      <c r="A13" s="10" t="inlineStr">
        <is>
          <t>Modeled at your baseline; not guaranteed. SI delivery cost is separate (see TCO model).</t>
        </is>
      </c>
    </row>
  </sheetData>
  <mergeCells count="3">
    <mergeCell ref="A2:B2"/>
    <mergeCell ref="A1:B1"/>
    <mergeCell ref="A7:B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</cols>
  <sheetData>
    <row r="1" ht="30" customHeight="1">
      <c r="A1" s="1" t="inlineStr">
        <is>
          <t>Agent 03 — Clinical Trial Ops &amp; TMF  (edit blue cells)</t>
        </is>
      </c>
    </row>
    <row r="2">
      <c r="A2" s="11" t="inlineStr">
        <is>
          <t>Inputs (your baseline)</t>
        </is>
      </c>
    </row>
    <row r="3">
      <c r="A3" s="12" t="inlineStr">
        <is>
          <t>Active pivotal (Phase III) trials</t>
        </is>
      </c>
      <c r="B3" s="13" t="n">
        <v>3</v>
      </c>
    </row>
    <row r="4">
      <c r="A4" s="12" t="inlineStr">
        <is>
          <t>Avg. database-lock / TMF slip avoided (days/trial)</t>
        </is>
      </c>
      <c r="B4" s="13" t="n">
        <v>20</v>
      </c>
    </row>
    <row r="5">
      <c r="A5" s="12" t="inlineStr">
        <is>
          <t>Lost sales per day of delay</t>
        </is>
      </c>
      <c r="B5" s="6" t="n">
        <v>800000</v>
      </c>
    </row>
    <row r="6">
      <c r="A6" s="12" t="inlineStr">
        <is>
          <t>Phase III direct cost per day</t>
        </is>
      </c>
      <c r="B6" s="6" t="n">
        <v>55716</v>
      </c>
    </row>
    <row r="7">
      <c r="A7" s="11" t="inlineStr">
        <is>
          <t>Results (modeled)</t>
        </is>
      </c>
    </row>
    <row r="8">
      <c r="A8" s="4" t="inlineStr">
        <is>
          <t>Exposure per avoided slip across active trials (modeled)</t>
        </is>
      </c>
      <c r="B8" s="8">
        <f>B3*B4*(B5+B6)</f>
        <v/>
      </c>
    </row>
    <row r="9">
      <c r="A9" s="4" t="inlineStr">
        <is>
          <t>Modeled annual value of the agent</t>
        </is>
      </c>
      <c r="B9" s="9">
        <f>B3*B4*(B5+B6)</f>
        <v/>
      </c>
    </row>
    <row r="10">
      <c r="A10" s="5" t="inlineStr">
        <is>
          <t>Less: est. Bedrock inference + infra / yr</t>
        </is>
      </c>
      <c r="B10" s="8">
        <f>-Assumptions!$B$8</f>
        <v/>
      </c>
    </row>
    <row r="11">
      <c r="A11" s="4" t="inlineStr">
        <is>
          <t>Net modeled annual value</t>
        </is>
      </c>
      <c r="B11" s="15">
        <f>B9+B10</f>
        <v/>
      </c>
    </row>
    <row r="13">
      <c r="A13" s="10" t="inlineStr">
        <is>
          <t>Modeled at your baseline; not guaranteed. SI delivery cost is separate (see TCO model).</t>
        </is>
      </c>
    </row>
  </sheetData>
  <mergeCells count="3">
    <mergeCell ref="A2:B2"/>
    <mergeCell ref="A1:B1"/>
    <mergeCell ref="A7:B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</cols>
  <sheetData>
    <row r="1" ht="30" customHeight="1">
      <c r="A1" s="1" t="inlineStr">
        <is>
          <t>Agent 04 — Site &amp; Patient Matching  (edit blue cells)</t>
        </is>
      </c>
    </row>
    <row r="2">
      <c r="A2" s="11" t="inlineStr">
        <is>
          <t>Inputs (your baseline)</t>
        </is>
      </c>
    </row>
    <row r="3">
      <c r="A3" s="12" t="inlineStr">
        <is>
          <t>New trial launches per year</t>
        </is>
      </c>
      <c r="B3" s="13" t="n">
        <v>4</v>
      </c>
    </row>
    <row r="4">
      <c r="A4" s="12" t="inlineStr">
        <is>
          <t>Enrollment days pulled in per launch</t>
        </is>
      </c>
      <c r="B4" s="13" t="n">
        <v>30</v>
      </c>
    </row>
    <row r="5">
      <c r="A5" s="12" t="inlineStr">
        <is>
          <t>Lost sales per day of delay</t>
        </is>
      </c>
      <c r="B5" s="6" t="n">
        <v>800000</v>
      </c>
    </row>
    <row r="6">
      <c r="A6" s="12" t="inlineStr">
        <is>
          <t>Non-enrolling site activations avoided / yr</t>
        </is>
      </c>
      <c r="B6" s="13" t="n">
        <v>8</v>
      </c>
    </row>
    <row r="7">
      <c r="A7" s="12" t="inlineStr">
        <is>
          <t>Cost per wasted site activation</t>
        </is>
      </c>
      <c r="B7" s="6" t="n">
        <v>40000</v>
      </c>
    </row>
    <row r="8">
      <c r="A8" s="11" t="inlineStr">
        <is>
          <t>Results (modeled)</t>
        </is>
      </c>
    </row>
    <row r="9">
      <c r="A9" s="4" t="inlineStr">
        <is>
          <t>Accelerated revenue from faster enrollment (modeled)</t>
        </is>
      </c>
      <c r="B9" s="8">
        <f>B3*B4*B5</f>
        <v/>
      </c>
    </row>
    <row r="10">
      <c r="A10" s="4" t="inlineStr">
        <is>
          <t>Modeled annual value of the agent</t>
        </is>
      </c>
      <c r="B10" s="9">
        <f>(B3*B4*B5)+(B6*B7)</f>
        <v/>
      </c>
    </row>
    <row r="11">
      <c r="A11" s="5" t="inlineStr">
        <is>
          <t>Less: est. Bedrock inference + infra / yr</t>
        </is>
      </c>
      <c r="B11" s="8">
        <f>-Assumptions!$B$8</f>
        <v/>
      </c>
    </row>
    <row r="12">
      <c r="A12" s="4" t="inlineStr">
        <is>
          <t>Net modeled annual value</t>
        </is>
      </c>
      <c r="B12" s="15">
        <f>B10+B11</f>
        <v/>
      </c>
    </row>
    <row r="14">
      <c r="A14" s="10" t="inlineStr">
        <is>
          <t>Modeled at your baseline; not guaranteed. SI delivery cost is separate (see TCO model).</t>
        </is>
      </c>
    </row>
  </sheetData>
  <mergeCells count="3">
    <mergeCell ref="A8:B8"/>
    <mergeCell ref="A2:B2"/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</cols>
  <sheetData>
    <row r="1" ht="30" customHeight="1">
      <c r="A1" s="1" t="inlineStr">
        <is>
          <t>Agent 05 — Quality / CAPA  (edit blue cells)</t>
        </is>
      </c>
    </row>
    <row r="2">
      <c r="A2" s="11" t="inlineStr">
        <is>
          <t>Inputs (your baseline)</t>
        </is>
      </c>
    </row>
    <row r="3">
      <c r="A3" s="12" t="inlineStr">
        <is>
          <t>Complaints / quality events per year</t>
        </is>
      </c>
      <c r="B3" s="13" t="n">
        <v>5000</v>
      </c>
    </row>
    <row r="4">
      <c r="A4" s="12" t="inlineStr">
        <is>
          <t>Avg. analyst hours per CAPA / investigation</t>
        </is>
      </c>
      <c r="B4" s="13" t="n">
        <v>12</v>
      </c>
    </row>
    <row r="5">
      <c r="A5" s="12" t="inlineStr">
        <is>
          <t>Expected hours reduction % (triage+RCA draft)</t>
        </is>
      </c>
      <c r="B5" s="14" t="n">
        <v>0.3</v>
      </c>
    </row>
    <row r="6">
      <c r="A6" s="12" t="inlineStr">
        <is>
          <t>Blended cost per hour</t>
        </is>
      </c>
      <c r="B6" s="6" t="n">
        <v>95</v>
      </c>
    </row>
    <row r="7">
      <c r="A7" s="12" t="inlineStr">
        <is>
          <t>Recall-exposure value at risk reduced / yr</t>
        </is>
      </c>
      <c r="B7" s="6" t="n">
        <v>0</v>
      </c>
    </row>
    <row r="8">
      <c r="A8" s="11" t="inlineStr">
        <is>
          <t>Results (modeled)</t>
        </is>
      </c>
    </row>
    <row r="9">
      <c r="A9" s="4" t="inlineStr">
        <is>
          <t>Annual CAPA / investigation labor today (modeled)</t>
        </is>
      </c>
      <c r="B9" s="8">
        <f>B3*B4*B6</f>
        <v/>
      </c>
    </row>
    <row r="10">
      <c r="A10" s="4" t="inlineStr">
        <is>
          <t>Modeled annual value of the agent</t>
        </is>
      </c>
      <c r="B10" s="9">
        <f>(B3*B4*B5*B6)+B7</f>
        <v/>
      </c>
    </row>
    <row r="11">
      <c r="A11" s="5" t="inlineStr">
        <is>
          <t>Less: est. Bedrock inference + infra / yr</t>
        </is>
      </c>
      <c r="B11" s="8">
        <f>-Assumptions!$B$8</f>
        <v/>
      </c>
    </row>
    <row r="12">
      <c r="A12" s="4" t="inlineStr">
        <is>
          <t>Net modeled annual value</t>
        </is>
      </c>
      <c r="B12" s="15">
        <f>B10+B11</f>
        <v/>
      </c>
    </row>
    <row r="14">
      <c r="A14" s="10" t="inlineStr">
        <is>
          <t>Modeled at your baseline; not guaranteed. SI delivery cost is separate (see TCO model).</t>
        </is>
      </c>
    </row>
  </sheetData>
  <mergeCells count="3">
    <mergeCell ref="A8:B8"/>
    <mergeCell ref="A2:B2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</cols>
  <sheetData>
    <row r="1" ht="30" customHeight="1">
      <c r="A1" s="1" t="inlineStr">
        <is>
          <t>Agent 06 — Protocol Design  (edit blue cells)</t>
        </is>
      </c>
    </row>
    <row r="2">
      <c r="A2" s="11" t="inlineStr">
        <is>
          <t>Inputs (your baseline)</t>
        </is>
      </c>
    </row>
    <row r="3">
      <c r="A3" s="12" t="inlineStr">
        <is>
          <t>Phase III protocols authored per year</t>
        </is>
      </c>
      <c r="B3" s="13" t="n">
        <v>4</v>
      </c>
    </row>
    <row r="4">
      <c r="A4" s="12" t="inlineStr">
        <is>
          <t>Avoidable substantial amendments prevented / protocol</t>
        </is>
      </c>
      <c r="B4" s="16" t="n">
        <v>0.5</v>
      </c>
    </row>
    <row r="5">
      <c r="A5" s="12" t="inlineStr">
        <is>
          <t>Direct cost per Phase III amendment</t>
        </is>
      </c>
      <c r="B5" s="6" t="n">
        <v>535000</v>
      </c>
    </row>
    <row r="6">
      <c r="A6" s="12" t="inlineStr">
        <is>
          <t>Cycle delay avoided per prevented amendment (days)</t>
        </is>
      </c>
      <c r="B6" s="13" t="n">
        <v>70</v>
      </c>
    </row>
    <row r="7">
      <c r="A7" s="12" t="inlineStr">
        <is>
          <t>Lost sales per day of delay</t>
        </is>
      </c>
      <c r="B7" s="6" t="n">
        <v>800000</v>
      </c>
    </row>
    <row r="8">
      <c r="A8" s="11" t="inlineStr">
        <is>
          <t>Results (modeled)</t>
        </is>
      </c>
    </row>
    <row r="9">
      <c r="A9" s="4" t="inlineStr">
        <is>
          <t>Direct amendment cost avoided (modeled)</t>
        </is>
      </c>
      <c r="B9" s="8">
        <f>B3*B4*B5</f>
        <v/>
      </c>
    </row>
    <row r="10">
      <c r="A10" s="4" t="inlineStr">
        <is>
          <t>Modeled annual value of the agent</t>
        </is>
      </c>
      <c r="B10" s="9">
        <f>B3*B4*(B5+(B6*B7))</f>
        <v/>
      </c>
    </row>
    <row r="11">
      <c r="A11" s="5" t="inlineStr">
        <is>
          <t>Less: est. Bedrock inference + infra / yr</t>
        </is>
      </c>
      <c r="B11" s="8">
        <f>-Assumptions!$B$8</f>
        <v/>
      </c>
    </row>
    <row r="12">
      <c r="A12" s="4" t="inlineStr">
        <is>
          <t>Net modeled annual value</t>
        </is>
      </c>
      <c r="B12" s="15">
        <f>B10+B11</f>
        <v/>
      </c>
    </row>
    <row r="14">
      <c r="A14" s="10" t="inlineStr">
        <is>
          <t>Modeled at your baseline; not guaranteed. SI delivery cost is separate (see TCO model).</t>
        </is>
      </c>
    </row>
  </sheetData>
  <mergeCells count="3">
    <mergeCell ref="A8:B8"/>
    <mergeCell ref="A2:B2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</cols>
  <sheetData>
    <row r="1" ht="30" customHeight="1">
      <c r="A1" s="1" t="inlineStr">
        <is>
          <t>Agent 07 — RWE / HEOR  (edit blue cells)</t>
        </is>
      </c>
    </row>
    <row r="2">
      <c r="A2" s="11" t="inlineStr">
        <is>
          <t>Inputs (your baseline)</t>
        </is>
      </c>
    </row>
    <row r="3">
      <c r="A3" s="12" t="inlineStr">
        <is>
          <t>RWE / HEOR analysts (FTE)</t>
        </is>
      </c>
      <c r="B3" s="13" t="n">
        <v>20</v>
      </c>
    </row>
    <row r="4">
      <c r="A4" s="12" t="inlineStr">
        <is>
          <t>Fully-loaded cost per analyst / yr</t>
        </is>
      </c>
      <c r="B4" s="6" t="n">
        <v>150000</v>
      </c>
    </row>
    <row r="5">
      <c r="A5" s="12" t="inlineStr">
        <is>
          <t>Share of time on data prep today (Anaconda ~45%)</t>
        </is>
      </c>
      <c r="B5" s="14" t="n">
        <v>0.45</v>
      </c>
    </row>
    <row r="6">
      <c r="A6" s="12" t="inlineStr">
        <is>
          <t>Share of prep time reclaimed</t>
        </is>
      </c>
      <c r="B6" s="14" t="n">
        <v>0.5</v>
      </c>
    </row>
    <row r="7">
      <c r="A7" s="11" t="inlineStr">
        <is>
          <t>Results (modeled)</t>
        </is>
      </c>
    </row>
    <row r="8">
      <c r="A8" s="4" t="inlineStr">
        <is>
          <t>Non-analytic labor cost today (modeled)</t>
        </is>
      </c>
      <c r="B8" s="8">
        <f>B3*B4*B5</f>
        <v/>
      </c>
    </row>
    <row r="9">
      <c r="A9" s="4" t="inlineStr">
        <is>
          <t>Modeled annual value of the agent</t>
        </is>
      </c>
      <c r="B9" s="9">
        <f>B3*B4*B5*B6</f>
        <v/>
      </c>
    </row>
    <row r="10">
      <c r="A10" s="5" t="inlineStr">
        <is>
          <t>Less: est. Bedrock inference + infra / yr</t>
        </is>
      </c>
      <c r="B10" s="8">
        <f>-Assumptions!$B$8</f>
        <v/>
      </c>
    </row>
    <row r="11">
      <c r="A11" s="4" t="inlineStr">
        <is>
          <t>Net modeled annual value</t>
        </is>
      </c>
      <c r="B11" s="15">
        <f>B9+B10</f>
        <v/>
      </c>
    </row>
    <row r="13">
      <c r="A13" s="10" t="inlineStr">
        <is>
          <t>Modeled at your baseline; not guaranteed. SI delivery cost is separate (see TCO model).</t>
        </is>
      </c>
    </row>
  </sheetData>
  <mergeCells count="3">
    <mergeCell ref="A2:B2"/>
    <mergeCell ref="A1:B1"/>
    <mergeCell ref="A7:B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</cols>
  <sheetData>
    <row r="1" ht="30" customHeight="1">
      <c r="A1" s="1" t="inlineStr">
        <is>
          <t>Agent 08 — Medical Affairs / MSL  (edit blue cells)</t>
        </is>
      </c>
    </row>
    <row r="2">
      <c r="A2" s="11" t="inlineStr">
        <is>
          <t>Inputs (your baseline)</t>
        </is>
      </c>
    </row>
    <row r="3">
      <c r="A3" s="12" t="inlineStr">
        <is>
          <t>MLR-reviewed content items per year</t>
        </is>
      </c>
      <c r="B3" s="13" t="n">
        <v>4000</v>
      </c>
    </row>
    <row r="4">
      <c r="A4" s="12" t="inlineStr">
        <is>
          <t>Avg. reviewer hours per item</t>
        </is>
      </c>
      <c r="B4" s="13" t="n">
        <v>3</v>
      </c>
    </row>
    <row r="5">
      <c r="A5" s="12" t="inlineStr">
        <is>
          <t>Expected time-to-deliver reduction % (McKinsey 50-70%)</t>
        </is>
      </c>
      <c r="B5" s="14" t="n">
        <v>0.5</v>
      </c>
    </row>
    <row r="6">
      <c r="A6" s="12" t="inlineStr">
        <is>
          <t>Blended cost per reviewer hour</t>
        </is>
      </c>
      <c r="B6" s="6" t="n">
        <v>110</v>
      </c>
    </row>
    <row r="7">
      <c r="A7" s="11" t="inlineStr">
        <is>
          <t>Results (modeled)</t>
        </is>
      </c>
    </row>
    <row r="8">
      <c r="A8" s="4" t="inlineStr">
        <is>
          <t>Annual MLR review labor today (modeled)</t>
        </is>
      </c>
      <c r="B8" s="8">
        <f>B3*B4*B6</f>
        <v/>
      </c>
    </row>
    <row r="9">
      <c r="A9" s="4" t="inlineStr">
        <is>
          <t>Modeled annual value of the agent</t>
        </is>
      </c>
      <c r="B9" s="9">
        <f>B3*B4*B5*B6</f>
        <v/>
      </c>
    </row>
    <row r="10">
      <c r="A10" s="5" t="inlineStr">
        <is>
          <t>Less: est. Bedrock inference + infra / yr</t>
        </is>
      </c>
      <c r="B10" s="8">
        <f>-Assumptions!$B$8</f>
        <v/>
      </c>
    </row>
    <row r="11">
      <c r="A11" s="4" t="inlineStr">
        <is>
          <t>Net modeled annual value</t>
        </is>
      </c>
      <c r="B11" s="15">
        <f>B9+B10</f>
        <v/>
      </c>
    </row>
    <row r="13">
      <c r="A13" s="10" t="inlineStr">
        <is>
          <t>Modeled at your baseline; not guaranteed. SI delivery cost is separate (see TCO model).</t>
        </is>
      </c>
    </row>
  </sheetData>
  <mergeCells count="3">
    <mergeCell ref="A2:B2"/>
    <mergeCell ref="A1:B1"/>
    <mergeCell ref="A7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2026-06-24T19:14:17Z</dcterms:created>
  <dcterms:modified xmlns:dcterms="http://purl.org/dc/terms/" xmlns:xsi="http://www.w3.org/2001/XMLSchema-instance" xsi:type="dcterms:W3CDTF">2026-06-24T19:14:18Z</dcterms:modified>
</cp:coreProperties>
</file>